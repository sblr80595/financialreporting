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9999999]##\,##\,##\,##0;[&gt;99999]##\,##\,##0;##,##0"/>
  </numFmts>
  <fonts count="7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65911"/>
      <sz val="11"/>
    </font>
    <font>
      <name val="Calibri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BS</t>
        </is>
      </c>
    </row>
    <row r="6">
      <c r="A6" s="3" t="inlineStr">
        <is>
          <t>RM in Lakhs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Balance sheet</t>
        </is>
      </c>
      <c r="B12" s="8" t="inlineStr"/>
      <c r="C12" s="9" t="n"/>
    </row>
    <row r="13">
      <c r="A13" s="7" t="inlineStr">
        <is>
          <t>Balance sheet net</t>
        </is>
      </c>
      <c r="B13" s="8" t="inlineStr"/>
      <c r="C13" s="10">
        <f>C36-C65</f>
        <v/>
      </c>
    </row>
    <row r="14">
      <c r="A14" s="7" t="inlineStr">
        <is>
          <t>Assets</t>
        </is>
      </c>
      <c r="B14" s="8" t="inlineStr"/>
      <c r="C14" s="9" t="n"/>
    </row>
    <row r="15">
      <c r="A15" s="11" t="inlineStr">
        <is>
          <t>Non-Current assets</t>
        </is>
      </c>
      <c r="B15" s="8" t="inlineStr"/>
      <c r="C15" s="9" t="n"/>
    </row>
    <row r="16">
      <c r="A16" s="12" t="inlineStr">
        <is>
          <t>Property, plant and equipment</t>
        </is>
      </c>
      <c r="B16" s="8" t="inlineStr">
        <is>
          <t>3</t>
        </is>
      </c>
      <c r="C16" s="10" t="n">
        <v>27017595</v>
      </c>
    </row>
    <row r="17">
      <c r="A17" s="12" t="inlineStr">
        <is>
          <t>Right-of-use assets</t>
        </is>
      </c>
      <c r="B17" s="8" t="inlineStr">
        <is>
          <t>4</t>
        </is>
      </c>
      <c r="C17" s="10" t="n">
        <v>1592153</v>
      </c>
    </row>
    <row r="18">
      <c r="A18" s="12" t="inlineStr">
        <is>
          <t>Other intangible assets</t>
        </is>
      </c>
      <c r="B18" s="8" t="inlineStr"/>
      <c r="C18" s="9" t="n"/>
    </row>
    <row r="19">
      <c r="A19" s="11" t="inlineStr">
        <is>
          <t>Financial Assets</t>
        </is>
      </c>
      <c r="B19" s="8" t="inlineStr"/>
      <c r="C19" s="9" t="n"/>
    </row>
    <row r="20">
      <c r="A20" s="12" t="inlineStr">
        <is>
          <t>Investments, Non current</t>
        </is>
      </c>
      <c r="B20" s="8" t="inlineStr">
        <is>
          <t>5</t>
        </is>
      </c>
      <c r="C20" s="10" t="n">
        <v>286243542</v>
      </c>
    </row>
    <row r="21">
      <c r="A21" s="12" t="inlineStr">
        <is>
          <t>Other financial assets, Non current</t>
        </is>
      </c>
      <c r="B21" s="8" t="inlineStr">
        <is>
          <t>7</t>
        </is>
      </c>
      <c r="C21" s="10" t="n">
        <v>5417241</v>
      </c>
    </row>
    <row r="22">
      <c r="A22" s="12" t="inlineStr">
        <is>
          <t>Deferred tax assets (net)</t>
        </is>
      </c>
      <c r="B22" s="8" t="inlineStr">
        <is>
          <t>6</t>
        </is>
      </c>
      <c r="C22" s="10" t="n">
        <v>2292739</v>
      </c>
    </row>
    <row r="23">
      <c r="A23" s="13" t="inlineStr">
        <is>
          <t>Total Non Current Assets</t>
        </is>
      </c>
      <c r="B23" s="8" t="inlineStr"/>
      <c r="C23" s="14">
        <f>SUM(C16:C22)</f>
        <v/>
      </c>
    </row>
    <row r="25">
      <c r="A25" s="11" t="inlineStr">
        <is>
          <t>Current Assets</t>
        </is>
      </c>
      <c r="B25" s="8" t="inlineStr"/>
      <c r="C25" s="9" t="n"/>
    </row>
    <row r="26">
      <c r="A26" s="12" t="inlineStr">
        <is>
          <t>Inventories</t>
        </is>
      </c>
      <c r="B26" s="8" t="inlineStr">
        <is>
          <t>8</t>
        </is>
      </c>
      <c r="C26" s="10" t="n">
        <v>23914866</v>
      </c>
    </row>
    <row r="27">
      <c r="A27" s="11" t="inlineStr">
        <is>
          <t>Financial Assets</t>
        </is>
      </c>
      <c r="B27" s="8" t="inlineStr"/>
      <c r="C27" s="9" t="n"/>
    </row>
    <row r="28">
      <c r="A28" s="12" t="inlineStr">
        <is>
          <t>Trade receivables</t>
        </is>
      </c>
      <c r="B28" s="8" t="inlineStr">
        <is>
          <t>9</t>
        </is>
      </c>
      <c r="C28" s="10" t="n">
        <v>31316339</v>
      </c>
    </row>
    <row r="29">
      <c r="A29" s="12" t="inlineStr">
        <is>
          <t>Cash and cash equivalents</t>
        </is>
      </c>
      <c r="B29" s="8" t="inlineStr">
        <is>
          <t>10</t>
        </is>
      </c>
      <c r="C29" s="10" t="n">
        <v>7123673</v>
      </c>
    </row>
    <row r="30">
      <c r="A30" s="12" t="inlineStr">
        <is>
          <t>Bank balances other than cash and cash equivalents</t>
        </is>
      </c>
      <c r="B30" s="8" t="inlineStr">
        <is>
          <t>11</t>
        </is>
      </c>
      <c r="C30" s="10" t="n">
        <v>13680588</v>
      </c>
    </row>
    <row r="31">
      <c r="A31" s="12" t="inlineStr">
        <is>
          <t>Loans, Current</t>
        </is>
      </c>
      <c r="B31" s="8" t="inlineStr">
        <is>
          <t>12</t>
        </is>
      </c>
      <c r="C31" s="10" t="n">
        <v>46806277</v>
      </c>
    </row>
    <row r="32">
      <c r="A32" s="12" t="inlineStr">
        <is>
          <t>Other financial assets, Current</t>
        </is>
      </c>
      <c r="B32" s="8" t="inlineStr">
        <is>
          <t>13</t>
        </is>
      </c>
      <c r="C32" s="10" t="n">
        <v>2609890</v>
      </c>
    </row>
    <row r="33">
      <c r="A33" s="12" t="inlineStr">
        <is>
          <t>Income tax assets, Current</t>
        </is>
      </c>
      <c r="B33" s="8" t="inlineStr"/>
      <c r="C33" s="9" t="n"/>
    </row>
    <row r="34">
      <c r="A34" s="12" t="inlineStr">
        <is>
          <t>Other Current assets</t>
        </is>
      </c>
      <c r="B34" s="8" t="inlineStr">
        <is>
          <t>7</t>
        </is>
      </c>
      <c r="C34" s="10" t="n">
        <v>5417241</v>
      </c>
    </row>
    <row r="35">
      <c r="A35" s="13" t="inlineStr">
        <is>
          <t>Total Current assets</t>
        </is>
      </c>
      <c r="B35" s="8" t="inlineStr"/>
      <c r="C35" s="14">
        <f>SUM(C26:C34)</f>
        <v/>
      </c>
    </row>
    <row r="36">
      <c r="A36" s="7" t="inlineStr">
        <is>
          <t>Total Assets</t>
        </is>
      </c>
      <c r="B36" s="8" t="inlineStr"/>
      <c r="C36" s="15">
        <f>C23+C35</f>
        <v/>
      </c>
    </row>
    <row r="39">
      <c r="A39" s="7" t="inlineStr">
        <is>
          <t>Equity And Liabilities</t>
        </is>
      </c>
      <c r="B39" s="8" t="inlineStr"/>
      <c r="C39" s="9" t="n"/>
    </row>
    <row r="40">
      <c r="A40" s="11" t="inlineStr">
        <is>
          <t>Equity</t>
        </is>
      </c>
      <c r="B40" s="8" t="inlineStr"/>
      <c r="C40" s="9" t="n"/>
    </row>
    <row r="41">
      <c r="A41" s="12" t="inlineStr">
        <is>
          <t>Share capital</t>
        </is>
      </c>
      <c r="B41" s="8" t="inlineStr">
        <is>
          <t>14</t>
        </is>
      </c>
      <c r="C41" s="10" t="n">
        <v>20436545</v>
      </c>
    </row>
    <row r="42">
      <c r="A42" s="12" t="inlineStr">
        <is>
          <t>Other equity</t>
        </is>
      </c>
      <c r="B42" s="8" t="inlineStr">
        <is>
          <t>15</t>
        </is>
      </c>
      <c r="C42" s="10" t="n">
        <v>105337230</v>
      </c>
    </row>
    <row r="43">
      <c r="A43" s="13" t="inlineStr">
        <is>
          <t>Total Equity</t>
        </is>
      </c>
      <c r="B43" s="8" t="inlineStr"/>
      <c r="C43" s="14">
        <f>SUM(C41:C42)</f>
        <v/>
      </c>
    </row>
    <row r="45">
      <c r="A45" s="11" t="inlineStr">
        <is>
          <t>Liabilities</t>
        </is>
      </c>
      <c r="B45" s="8" t="inlineStr"/>
      <c r="C45" s="9" t="n"/>
    </row>
    <row r="46">
      <c r="A46" s="11" t="inlineStr">
        <is>
          <t>Non Current liabilities</t>
        </is>
      </c>
      <c r="B46" s="8" t="inlineStr"/>
      <c r="C46" s="9" t="n"/>
    </row>
    <row r="47">
      <c r="A47" s="11" t="inlineStr">
        <is>
          <t>Financial liabilities</t>
        </is>
      </c>
      <c r="B47" s="8" t="inlineStr"/>
      <c r="C47" s="9" t="n"/>
    </row>
    <row r="48">
      <c r="A48" s="12" t="inlineStr">
        <is>
          <t>Lease liability</t>
        </is>
      </c>
      <c r="B48" s="8" t="inlineStr">
        <is>
          <t>18</t>
        </is>
      </c>
      <c r="C48" s="10" t="n">
        <v>1497737</v>
      </c>
    </row>
    <row r="49">
      <c r="A49" s="12" t="inlineStr">
        <is>
          <t>Borrowings</t>
        </is>
      </c>
      <c r="B49" s="8" t="inlineStr">
        <is>
          <t>17</t>
        </is>
      </c>
      <c r="C49" s="10" t="n">
        <v>242141470</v>
      </c>
    </row>
    <row r="50">
      <c r="A50" s="12" t="inlineStr">
        <is>
          <t>Deferred tax liabilities</t>
        </is>
      </c>
      <c r="B50" s="8" t="inlineStr">
        <is>
          <t>6</t>
        </is>
      </c>
      <c r="C50" s="10" t="n">
        <v>2292739</v>
      </c>
    </row>
    <row r="51">
      <c r="A51" s="13" t="inlineStr">
        <is>
          <t>Total Non current liabilities</t>
        </is>
      </c>
      <c r="B51" s="8" t="inlineStr"/>
      <c r="C51" s="14">
        <f>SUM(C47:C50)</f>
        <v/>
      </c>
    </row>
    <row r="53">
      <c r="A53" s="11" t="inlineStr">
        <is>
          <t>Current Liabilities</t>
        </is>
      </c>
      <c r="B53" s="8" t="inlineStr"/>
      <c r="C53" s="9" t="n"/>
    </row>
    <row r="54">
      <c r="A54" s="12" t="inlineStr">
        <is>
          <t>Contract Liabilities</t>
        </is>
      </c>
      <c r="B54" s="8" t="inlineStr">
        <is>
          <t>16</t>
        </is>
      </c>
      <c r="C54" s="10" t="n">
        <v>2904926</v>
      </c>
    </row>
    <row r="55">
      <c r="A55" s="11" t="inlineStr">
        <is>
          <t>Financial liabilities</t>
        </is>
      </c>
      <c r="B55" s="8" t="inlineStr"/>
      <c r="C55" s="9" t="n"/>
    </row>
    <row r="56">
      <c r="A56" s="12" t="inlineStr">
        <is>
          <t>Lease liability</t>
        </is>
      </c>
      <c r="B56" s="8" t="inlineStr">
        <is>
          <t>18</t>
        </is>
      </c>
      <c r="C56" s="10" t="n">
        <v>1497737</v>
      </c>
    </row>
    <row r="57">
      <c r="A57" s="12" t="inlineStr">
        <is>
          <t>Borrowings</t>
        </is>
      </c>
      <c r="B57" s="8" t="inlineStr">
        <is>
          <t>17</t>
        </is>
      </c>
      <c r="C57" s="10" t="n">
        <v>242141470</v>
      </c>
    </row>
    <row r="58">
      <c r="A58" s="11" t="inlineStr">
        <is>
          <t>Trade Payables</t>
        </is>
      </c>
      <c r="B58" s="8" t="inlineStr"/>
      <c r="C58" s="9" t="n"/>
    </row>
    <row r="59">
      <c r="A59" s="12" t="inlineStr">
        <is>
          <t>Trade payables - Non MSME</t>
        </is>
      </c>
      <c r="B59" s="8" t="inlineStr">
        <is>
          <t>19</t>
        </is>
      </c>
      <c r="C59" s="10" t="n">
        <v>26616637</v>
      </c>
    </row>
    <row r="60">
      <c r="A60" s="12" t="inlineStr">
        <is>
          <t>Other financial liabilities</t>
        </is>
      </c>
      <c r="B60" s="8" t="inlineStr">
        <is>
          <t>20</t>
        </is>
      </c>
      <c r="C60" s="10" t="n">
        <v>4775582</v>
      </c>
    </row>
    <row r="61">
      <c r="A61" s="12" t="inlineStr">
        <is>
          <t>Other Current liabilities</t>
        </is>
      </c>
      <c r="B61" s="8" t="inlineStr">
        <is>
          <t>21</t>
        </is>
      </c>
      <c r="C61" s="10" t="n">
        <v>757467</v>
      </c>
    </row>
    <row r="62">
      <c r="A62" s="12" t="inlineStr">
        <is>
          <t>Provisions</t>
        </is>
      </c>
      <c r="B62" s="8" t="inlineStr">
        <is>
          <t>22</t>
        </is>
      </c>
      <c r="C62" s="10" t="n">
        <v>210260</v>
      </c>
    </row>
    <row r="63">
      <c r="A63" s="12" t="inlineStr">
        <is>
          <t>Current tax liabilities (net)</t>
        </is>
      </c>
      <c r="B63" s="8" t="inlineStr">
        <is>
          <t>23</t>
        </is>
      </c>
      <c r="C63" s="10" t="n">
        <v>1491740</v>
      </c>
    </row>
    <row r="64">
      <c r="A64" s="13" t="inlineStr">
        <is>
          <t>Total Current liabilities</t>
        </is>
      </c>
      <c r="B64" s="8" t="inlineStr"/>
      <c r="C64" s="14">
        <f>SUM(C54:C63)</f>
        <v/>
      </c>
    </row>
    <row r="65">
      <c r="A65" s="7" t="inlineStr">
        <is>
          <t>Total Equity and liabilities</t>
        </is>
      </c>
      <c r="B65" s="8" t="inlineStr"/>
      <c r="C65" s="15">
        <f>C43+C51+C64</f>
        <v/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2025-11-05T09:27:25Z</dcterms:created>
  <dcterms:modified xsi:type="dcterms:W3CDTF">2025-11-05T09:27:25Z</dcterms:modified>
</cp:coreProperties>
</file>