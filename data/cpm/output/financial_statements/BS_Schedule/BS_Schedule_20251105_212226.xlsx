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C6591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cpm</t>
        </is>
      </c>
    </row>
    <row r="2">
      <c r="A2" t="inlineStr">
        <is>
          <t>2025 Mar YTD</t>
        </is>
      </c>
    </row>
    <row r="4">
      <c r="A4" t="inlineStr">
        <is>
          <t>Entity: CPM  Book: 8937,IndAS - IndAS entities,Standalone,MYR,Actual</t>
        </is>
      </c>
    </row>
    <row r="5">
      <c r="A5" s="1" t="inlineStr">
        <is>
          <t>BS Schedule</t>
        </is>
      </c>
    </row>
    <row r="7">
      <c r="A7" s="2" t="inlineStr">
        <is>
          <t>Period Id</t>
        </is>
      </c>
      <c r="C7" s="3" t="inlineStr">
        <is>
          <t>Mar 2025 (YTD)</t>
        </is>
      </c>
    </row>
    <row r="8">
      <c r="A8" s="2" t="inlineStr">
        <is>
          <t>Currency</t>
        </is>
      </c>
      <c r="C8" s="3" t="inlineStr">
        <is>
          <t>Malaysian Ringgit</t>
        </is>
      </c>
    </row>
    <row r="9">
      <c r="A9" s="2" t="inlineStr">
        <is>
          <t>Scenario</t>
        </is>
      </c>
      <c r="C9" s="3" t="inlineStr">
        <is>
          <t>Actual</t>
        </is>
      </c>
    </row>
    <row r="10">
      <c r="A10" s="3" t="inlineStr">
        <is>
          <t>Item Label / Nature Of Report</t>
        </is>
      </c>
      <c r="B10" s="3" t="inlineStr">
        <is>
          <t>Consol Code</t>
        </is>
      </c>
      <c r="C10" s="3" t="inlineStr">
        <is>
          <t>Mar 2025 (YTD)</t>
        </is>
      </c>
      <c r="D10" s="3" t="inlineStr">
        <is>
          <t>Mar 2024 (YTD)</t>
        </is>
      </c>
      <c r="E10" s="3" t="inlineStr">
        <is>
          <t>Mar 2023 (YTD)</t>
        </is>
      </c>
    </row>
    <row r="11">
      <c r="A11" s="4" t="inlineStr">
        <is>
          <t>Schedule 3</t>
        </is>
      </c>
      <c r="B11" s="5" t="inlineStr"/>
      <c r="C11" s="6" t="n"/>
      <c r="D11" s="6" t="n"/>
      <c r="E11" s="6" t="n"/>
    </row>
    <row r="12">
      <c r="A12" s="7" t="inlineStr">
        <is>
          <t>PROPERTY, PLANT AND EQUIPMENT</t>
        </is>
      </c>
      <c r="B12" s="5" t="inlineStr"/>
      <c r="C12" s="6" t="n"/>
      <c r="D12" s="6" t="n"/>
      <c r="E12" s="6" t="n"/>
    </row>
    <row r="13">
      <c r="A13" s="7" t="inlineStr">
        <is>
          <t>Plant and Machinery</t>
        </is>
      </c>
      <c r="B13" s="5" t="inlineStr"/>
      <c r="C13" s="8" t="n">
        <v>66084904</v>
      </c>
      <c r="D13" s="9" t="inlineStr">
        <is>
          <t>N/A</t>
        </is>
      </c>
      <c r="E13" s="9" t="inlineStr">
        <is>
          <t>N/A</t>
        </is>
      </c>
    </row>
    <row r="14">
      <c r="A14" s="7" t="inlineStr">
        <is>
          <t>Computers</t>
        </is>
      </c>
      <c r="B14" s="5" t="inlineStr"/>
      <c r="C14" s="8" t="n">
        <v>4484197</v>
      </c>
      <c r="D14" s="9" t="inlineStr">
        <is>
          <t>N/A</t>
        </is>
      </c>
      <c r="E14" s="9" t="inlineStr">
        <is>
          <t>N/A</t>
        </is>
      </c>
    </row>
    <row r="15">
      <c r="A15" s="7" t="inlineStr">
        <is>
          <t>Furniture and fixtures</t>
        </is>
      </c>
      <c r="B15" s="5" t="inlineStr"/>
      <c r="C15" s="8" t="n">
        <v>726957</v>
      </c>
      <c r="D15" s="9" t="inlineStr">
        <is>
          <t>N/A</t>
        </is>
      </c>
      <c r="E15" s="9" t="inlineStr">
        <is>
          <t>N/A</t>
        </is>
      </c>
    </row>
    <row r="16">
      <c r="A16" s="7" t="inlineStr">
        <is>
          <t>Vehicles</t>
        </is>
      </c>
      <c r="B16" s="5" t="inlineStr"/>
      <c r="C16" s="8" t="n">
        <v>885724</v>
      </c>
      <c r="D16" s="9" t="inlineStr">
        <is>
          <t>N/A</t>
        </is>
      </c>
      <c r="E16" s="9" t="inlineStr">
        <is>
          <t>N/A</t>
        </is>
      </c>
    </row>
    <row r="17">
      <c r="A17" s="7" t="inlineStr">
        <is>
          <t>Leasehold improvements</t>
        </is>
      </c>
      <c r="B17" s="5" t="inlineStr"/>
      <c r="C17" s="8" t="n">
        <v>3227567</v>
      </c>
      <c r="D17" s="9" t="inlineStr">
        <is>
          <t>N/A</t>
        </is>
      </c>
      <c r="E17" s="9" t="inlineStr">
        <is>
          <t>N/A</t>
        </is>
      </c>
    </row>
    <row r="18">
      <c r="A18" s="7" t="inlineStr">
        <is>
          <t>Office equipment</t>
        </is>
      </c>
      <c r="B18" s="5" t="inlineStr"/>
      <c r="C18" s="8" t="n">
        <v>2392400</v>
      </c>
      <c r="D18" s="9" t="inlineStr">
        <is>
          <t>N/A</t>
        </is>
      </c>
      <c r="E18" s="9" t="inlineStr">
        <is>
          <t>N/A</t>
        </is>
      </c>
    </row>
    <row r="19">
      <c r="A19" s="7" t="inlineStr">
        <is>
          <t>Plant and Machinery</t>
        </is>
      </c>
      <c r="B19" s="5" t="inlineStr"/>
      <c r="C19" s="8" t="n">
        <v>-42056099</v>
      </c>
      <c r="D19" s="9" t="inlineStr">
        <is>
          <t>N/A</t>
        </is>
      </c>
      <c r="E19" s="9" t="inlineStr">
        <is>
          <t>N/A</t>
        </is>
      </c>
    </row>
    <row r="20">
      <c r="A20" s="7" t="inlineStr">
        <is>
          <t>Computers</t>
        </is>
      </c>
      <c r="B20" s="5" t="inlineStr"/>
      <c r="C20" s="8" t="n">
        <v>-4032205</v>
      </c>
      <c r="D20" s="9" t="inlineStr">
        <is>
          <t>N/A</t>
        </is>
      </c>
      <c r="E20" s="9" t="inlineStr">
        <is>
          <t>N/A</t>
        </is>
      </c>
    </row>
    <row r="21">
      <c r="A21" s="7" t="inlineStr">
        <is>
          <t>Furniture and fixtures</t>
        </is>
      </c>
      <c r="B21" s="5" t="inlineStr"/>
      <c r="C21" s="8" t="n">
        <v>-655100</v>
      </c>
      <c r="D21" s="9" t="inlineStr">
        <is>
          <t>N/A</t>
        </is>
      </c>
      <c r="E21" s="9" t="inlineStr">
        <is>
          <t>N/A</t>
        </is>
      </c>
    </row>
    <row r="22">
      <c r="A22" s="7" t="inlineStr">
        <is>
          <t>Vehicles</t>
        </is>
      </c>
      <c r="B22" s="5" t="inlineStr"/>
      <c r="C22" s="8" t="n">
        <v>-733915</v>
      </c>
      <c r="D22" s="9" t="inlineStr">
        <is>
          <t>N/A</t>
        </is>
      </c>
      <c r="E22" s="9" t="inlineStr">
        <is>
          <t>N/A</t>
        </is>
      </c>
    </row>
    <row r="23">
      <c r="A23" s="7" t="inlineStr">
        <is>
          <t>Leasehold improvements</t>
        </is>
      </c>
      <c r="B23" s="5" t="inlineStr"/>
      <c r="C23" s="8" t="n">
        <v>-1336105</v>
      </c>
      <c r="D23" s="9" t="inlineStr">
        <is>
          <t>N/A</t>
        </is>
      </c>
      <c r="E23" s="9" t="inlineStr">
        <is>
          <t>N/A</t>
        </is>
      </c>
    </row>
    <row r="24">
      <c r="A24" s="7" t="inlineStr">
        <is>
          <t>Office equipment</t>
        </is>
      </c>
      <c r="B24" s="5" t="inlineStr"/>
      <c r="C24" s="8" t="n">
        <v>-1970730</v>
      </c>
      <c r="D24" s="9" t="inlineStr">
        <is>
          <t>N/A</t>
        </is>
      </c>
      <c r="E24" s="9" t="inlineStr">
        <is>
          <t>N/A</t>
        </is>
      </c>
    </row>
    <row r="25">
      <c r="A25" s="7" t="inlineStr">
        <is>
          <t>Net carrying amount</t>
        </is>
      </c>
      <c r="B25" s="5" t="inlineStr"/>
      <c r="C25" s="8" t="n">
        <v>27017595</v>
      </c>
      <c r="D25" s="9" t="inlineStr">
        <is>
          <t>N/A</t>
        </is>
      </c>
      <c r="E25" s="9" t="inlineStr">
        <is>
          <t>N/A</t>
        </is>
      </c>
    </row>
    <row r="26">
      <c r="A26" s="10" t="inlineStr">
        <is>
          <t>Total Property, plant and equipment</t>
        </is>
      </c>
      <c r="B26" s="5" t="inlineStr"/>
      <c r="C26" s="11">
        <f>SUM(C12:C25)</f>
        <v/>
      </c>
      <c r="D26" s="11">
        <f>SUM(D12:D25)</f>
        <v/>
      </c>
      <c r="E26" s="11">
        <f>SUM(E12:E25)</f>
        <v/>
      </c>
    </row>
    <row r="28">
      <c r="A28" s="4" t="inlineStr">
        <is>
          <t>Schedule 4</t>
        </is>
      </c>
      <c r="B28" s="5" t="inlineStr"/>
      <c r="C28" s="6" t="n"/>
      <c r="D28" s="6" t="n"/>
      <c r="E28" s="6" t="n"/>
    </row>
    <row r="29">
      <c r="A29" s="7" t="inlineStr">
        <is>
          <t>RIGHT-OF-USE ASSETS</t>
        </is>
      </c>
      <c r="B29" s="5" t="inlineStr"/>
      <c r="C29" s="6" t="n"/>
      <c r="D29" s="6" t="n"/>
      <c r="E29" s="6" t="n"/>
    </row>
    <row r="30">
      <c r="A30" s="7" t="inlineStr">
        <is>
          <t>Right of use assets</t>
        </is>
      </c>
      <c r="B30" s="5" t="inlineStr"/>
      <c r="C30" s="8" t="n">
        <v>2598712</v>
      </c>
      <c r="D30" s="9" t="inlineStr">
        <is>
          <t>N/A</t>
        </is>
      </c>
      <c r="E30" s="9" t="inlineStr">
        <is>
          <t>N/A</t>
        </is>
      </c>
    </row>
    <row r="31">
      <c r="A31" s="7" t="inlineStr">
        <is>
          <t>Right of use assets- Accumulated Depreciation</t>
        </is>
      </c>
      <c r="B31" s="5" t="inlineStr"/>
      <c r="C31" s="8" t="n">
        <v>-1904652</v>
      </c>
      <c r="D31" s="9" t="inlineStr">
        <is>
          <t>N/A</t>
        </is>
      </c>
      <c r="E31" s="9" t="inlineStr">
        <is>
          <t>N/A</t>
        </is>
      </c>
    </row>
    <row r="32">
      <c r="A32" s="7" t="inlineStr">
        <is>
          <t>Net carrying amount</t>
        </is>
      </c>
      <c r="B32" s="5" t="inlineStr"/>
      <c r="C32" s="8" t="n">
        <v>694060</v>
      </c>
      <c r="D32" s="9" t="inlineStr">
        <is>
          <t>N/A</t>
        </is>
      </c>
      <c r="E32" s="9" t="inlineStr">
        <is>
          <t>N/A</t>
        </is>
      </c>
    </row>
    <row r="33">
      <c r="A33" s="10" t="inlineStr">
        <is>
          <t>Total Right to use assets</t>
        </is>
      </c>
      <c r="B33" s="5" t="inlineStr"/>
      <c r="C33" s="11">
        <f>SUM(C29:C32)</f>
        <v/>
      </c>
      <c r="D33" s="11">
        <f>SUM(D29:D32)</f>
        <v/>
      </c>
      <c r="E33" s="11">
        <f>SUM(E29:E32)</f>
        <v/>
      </c>
    </row>
    <row r="35">
      <c r="A35" s="4" t="inlineStr">
        <is>
          <t>Schedule 5</t>
        </is>
      </c>
      <c r="B35" s="5" t="inlineStr"/>
      <c r="C35" s="6" t="n"/>
      <c r="D35" s="6" t="n"/>
      <c r="E35" s="6" t="n"/>
    </row>
    <row r="36">
      <c r="A36" s="7" t="inlineStr">
        <is>
          <t>INVESTMENTS</t>
        </is>
      </c>
      <c r="B36" s="5" t="inlineStr"/>
      <c r="C36" s="6" t="n"/>
      <c r="D36" s="6" t="n"/>
      <c r="E36" s="6" t="n"/>
    </row>
    <row r="37">
      <c r="A37" s="7" t="inlineStr">
        <is>
          <t>5,00,000 equity shares of 1 RM each held in Chemoscience (Malaysia) Sdn. Bhd.</t>
        </is>
      </c>
      <c r="B37" s="5" t="inlineStr"/>
      <c r="C37" s="8" t="n">
        <v>1345564</v>
      </c>
      <c r="D37" s="9" t="inlineStr">
        <is>
          <t>N/A</t>
        </is>
      </c>
      <c r="E37" s="9" t="inlineStr">
        <is>
          <t>N/A</t>
        </is>
      </c>
    </row>
    <row r="38">
      <c r="A38" s="7" t="inlineStr">
        <is>
          <t>Less: Impairment in value of investments</t>
        </is>
      </c>
      <c r="B38" s="5" t="inlineStr"/>
      <c r="C38" s="8" t="n">
        <v>-129951</v>
      </c>
      <c r="D38" s="9" t="inlineStr">
        <is>
          <t>N/A</t>
        </is>
      </c>
      <c r="E38" s="9" t="inlineStr">
        <is>
          <t>N/A</t>
        </is>
      </c>
    </row>
    <row r="39">
      <c r="A39" s="7" t="inlineStr">
        <is>
          <t>2,00,000 equity shares of 1 RM each held in Chemoresources Sdn. Bhd.</t>
        </is>
      </c>
      <c r="B39" s="5" t="inlineStr"/>
      <c r="C39" s="8" t="n">
        <v>583720</v>
      </c>
      <c r="D39" s="9" t="inlineStr">
        <is>
          <t>N/A</t>
        </is>
      </c>
      <c r="E39" s="9" t="inlineStr">
        <is>
          <t>N/A</t>
        </is>
      </c>
    </row>
    <row r="40">
      <c r="A40" s="7" t="inlineStr">
        <is>
          <t>Less: Impairment in value of investments</t>
        </is>
      </c>
      <c r="B40" s="5" t="inlineStr"/>
      <c r="C40" s="8" t="n">
        <v>-583720</v>
      </c>
      <c r="D40" s="9" t="inlineStr">
        <is>
          <t>N/A</t>
        </is>
      </c>
      <c r="E40" s="9" t="inlineStr">
        <is>
          <t>N/A</t>
        </is>
      </c>
    </row>
    <row r="41">
      <c r="A41" s="7" t="inlineStr">
        <is>
          <t>1,00,000 equity shares of 1 RM each held in Chemoinformatics Sdn. Bhd.</t>
        </is>
      </c>
      <c r="B41" s="5" t="inlineStr"/>
      <c r="C41" s="8" t="n">
        <v>100000</v>
      </c>
      <c r="D41" s="9" t="inlineStr">
        <is>
          <t>N/A</t>
        </is>
      </c>
      <c r="E41" s="9" t="inlineStr">
        <is>
          <t>N/A</t>
        </is>
      </c>
    </row>
    <row r="42">
      <c r="A42" s="7" t="inlineStr">
        <is>
          <t>Less: Impairment in value of investments</t>
        </is>
      </c>
      <c r="B42" s="5" t="inlineStr"/>
      <c r="C42" s="8" t="n">
        <v>-99999</v>
      </c>
      <c r="D42" s="9" t="inlineStr">
        <is>
          <t>N/A</t>
        </is>
      </c>
      <c r="E42" s="9" t="inlineStr">
        <is>
          <t>N/A</t>
        </is>
      </c>
    </row>
    <row r="43">
      <c r="A43" s="7" t="inlineStr">
        <is>
          <t>2,989 equity shares of 1 IDR each held in Pt Chemoscience Indonesia</t>
        </is>
      </c>
      <c r="B43" s="5" t="inlineStr"/>
      <c r="C43" s="8" t="n">
        <v>990750</v>
      </c>
      <c r="D43" s="9" t="inlineStr">
        <is>
          <t>N/A</t>
        </is>
      </c>
      <c r="E43" s="9" t="inlineStr">
        <is>
          <t>N/A</t>
        </is>
      </c>
    </row>
    <row r="44">
      <c r="A44" s="7" t="inlineStr">
        <is>
          <t>Less: Impairment in value of investments</t>
        </is>
      </c>
      <c r="B44" s="5" t="inlineStr"/>
      <c r="C44" s="8" t="n">
        <v>-990749</v>
      </c>
      <c r="D44" s="9" t="inlineStr">
        <is>
          <t>N/A</t>
        </is>
      </c>
      <c r="E44" s="9" t="inlineStr">
        <is>
          <t>N/A</t>
        </is>
      </c>
    </row>
    <row r="45">
      <c r="A45" s="7" t="inlineStr">
        <is>
          <t>52,15,143 equity shares of 1 SGD each held in Chemoscience Pte. Ltd.</t>
        </is>
      </c>
      <c r="B45" s="5" t="inlineStr"/>
      <c r="C45" s="8" t="n">
        <v>15884598</v>
      </c>
      <c r="D45" s="9" t="inlineStr">
        <is>
          <t>N/A</t>
        </is>
      </c>
      <c r="E45" s="9" t="inlineStr">
        <is>
          <t>N/A</t>
        </is>
      </c>
    </row>
    <row r="46">
      <c r="A46" s="7" t="inlineStr">
        <is>
          <t>2,00,000 equity shares of 100 PHP each held in Chemoscience Phils. Inc.</t>
        </is>
      </c>
      <c r="B46" s="5" t="inlineStr"/>
      <c r="C46" s="8" t="n">
        <v>4947327</v>
      </c>
      <c r="D46" s="9" t="inlineStr">
        <is>
          <t>N/A</t>
        </is>
      </c>
      <c r="E46" s="9" t="inlineStr">
        <is>
          <t>N/A</t>
        </is>
      </c>
    </row>
    <row r="47">
      <c r="A47" s="7" t="inlineStr">
        <is>
          <t>15,00,000 equity shares of 1 RM each held in Medigene Sdn. Bhd.</t>
        </is>
      </c>
      <c r="B47" s="5" t="inlineStr"/>
      <c r="C47" s="8" t="n">
        <v>19581141</v>
      </c>
      <c r="D47" s="9" t="inlineStr">
        <is>
          <t>N/A</t>
        </is>
      </c>
      <c r="E47" s="9" t="inlineStr">
        <is>
          <t>N/A</t>
        </is>
      </c>
    </row>
    <row r="48">
      <c r="A48" s="7" t="inlineStr">
        <is>
          <t>4,00,000 equity shares of 1 SGD each held in Research Instruments Pte. Ltd.</t>
        </is>
      </c>
      <c r="B48" s="5" t="inlineStr"/>
      <c r="C48" s="8" t="n">
        <v>81320379</v>
      </c>
      <c r="D48" s="9" t="inlineStr">
        <is>
          <t>N/A</t>
        </is>
      </c>
      <c r="E48" s="9" t="inlineStr">
        <is>
          <t>N/A</t>
        </is>
      </c>
    </row>
    <row r="49">
      <c r="A49" s="7" t="inlineStr">
        <is>
          <t>11,77,000 equity shares of 1 RM each held in Research Instruments Sdn. Bhd.</t>
        </is>
      </c>
      <c r="B49" s="5" t="inlineStr"/>
      <c r="C49" s="8" t="n">
        <v>15040000</v>
      </c>
      <c r="D49" s="9" t="inlineStr">
        <is>
          <t>N/A</t>
        </is>
      </c>
      <c r="E49" s="9" t="inlineStr">
        <is>
          <t>N/A</t>
        </is>
      </c>
    </row>
    <row r="50">
      <c r="A50" s="7" t="inlineStr">
        <is>
          <t>50,000 equity shares of 1 SGD each held in Scientific Resources Pte. Ltd.</t>
        </is>
      </c>
      <c r="B50" s="5" t="inlineStr"/>
      <c r="C50" s="8" t="n">
        <v>27364808</v>
      </c>
      <c r="D50" s="9" t="inlineStr">
        <is>
          <t>N/A</t>
        </is>
      </c>
      <c r="E50" s="9" t="inlineStr">
        <is>
          <t>N/A</t>
        </is>
      </c>
    </row>
    <row r="51">
      <c r="A51" s="7" t="inlineStr">
        <is>
          <t>1,00,000 equity shares of 1 SGD each held in Biofrontier Technology Pte. Ltd.</t>
        </is>
      </c>
      <c r="B51" s="5" t="inlineStr"/>
      <c r="C51" s="8" t="n">
        <v>50060697</v>
      </c>
      <c r="D51" s="9" t="inlineStr">
        <is>
          <t>N/A</t>
        </is>
      </c>
      <c r="E51" s="9" t="inlineStr">
        <is>
          <t>N/A</t>
        </is>
      </c>
    </row>
    <row r="52">
      <c r="A52" s="7" t="inlineStr">
        <is>
          <t>19,50,000 equity shares of 100 Baht each held in Hausen Bernstein Co. Ltd.</t>
        </is>
      </c>
      <c r="B52" s="5" t="inlineStr"/>
      <c r="C52" s="8" t="n">
        <v>70828976</v>
      </c>
      <c r="D52" s="9" t="inlineStr">
        <is>
          <t>N/A</t>
        </is>
      </c>
      <c r="E52" s="9" t="inlineStr">
        <is>
          <t>N/A</t>
        </is>
      </c>
    </row>
    <row r="53">
      <c r="A53" s="10" t="inlineStr">
        <is>
          <t>Total Other intangible assets</t>
        </is>
      </c>
      <c r="B53" s="5" t="inlineStr"/>
      <c r="C53" s="11">
        <f>SUM(C36:C52)</f>
        <v/>
      </c>
      <c r="D53" s="11">
        <f>SUM(D36:D52)</f>
        <v/>
      </c>
      <c r="E53" s="11">
        <f>SUM(E36:E52)</f>
        <v/>
      </c>
    </row>
    <row r="55">
      <c r="A55" s="4" t="inlineStr">
        <is>
          <t>Schedule 7</t>
        </is>
      </c>
      <c r="B55" s="5" t="inlineStr"/>
      <c r="C55" s="6" t="n"/>
      <c r="D55" s="6" t="n"/>
      <c r="E55" s="6" t="n"/>
    </row>
    <row r="56">
      <c r="A56" s="7" t="inlineStr">
        <is>
          <t>OTHER ASSETS (NON-CURRENT AND CURRENT)</t>
        </is>
      </c>
      <c r="B56" s="5" t="inlineStr"/>
      <c r="C56" s="6" t="n"/>
      <c r="D56" s="6" t="n"/>
      <c r="E56" s="6" t="n"/>
    </row>
    <row r="57">
      <c r="A57" s="7" t="inlineStr">
        <is>
          <t>Prepaid expenses</t>
        </is>
      </c>
      <c r="B57" s="5" t="inlineStr"/>
      <c r="C57" s="8" t="n">
        <v>103930</v>
      </c>
      <c r="D57" s="9" t="inlineStr">
        <is>
          <t>N/A</t>
        </is>
      </c>
      <c r="E57" s="9" t="inlineStr">
        <is>
          <t>N/A</t>
        </is>
      </c>
    </row>
    <row r="58">
      <c r="A58" s="7" t="inlineStr">
        <is>
          <t>Advances to suppliers</t>
        </is>
      </c>
      <c r="B58" s="5" t="inlineStr"/>
      <c r="C58" s="8" t="n">
        <v>1616286</v>
      </c>
      <c r="D58" s="9" t="inlineStr">
        <is>
          <t>N/A</t>
        </is>
      </c>
      <c r="E58" s="9" t="inlineStr">
        <is>
          <t>N/A</t>
        </is>
      </c>
    </row>
    <row r="59">
      <c r="A59" s="7" t="inlineStr">
        <is>
          <t>Prepaid expenses</t>
        </is>
      </c>
      <c r="B59" s="5" t="inlineStr"/>
      <c r="C59" s="8" t="n">
        <v>2041346</v>
      </c>
      <c r="D59" s="9" t="inlineStr">
        <is>
          <t>N/A</t>
        </is>
      </c>
      <c r="E59" s="9" t="inlineStr">
        <is>
          <t>N/A</t>
        </is>
      </c>
    </row>
    <row r="60">
      <c r="A60" s="7" t="inlineStr">
        <is>
          <t>Balance with government authorities</t>
        </is>
      </c>
      <c r="B60" s="5" t="inlineStr"/>
      <c r="C60" s="8" t="n">
        <v>6633</v>
      </c>
      <c r="D60" s="9" t="inlineStr">
        <is>
          <t>N/A</t>
        </is>
      </c>
      <c r="E60" s="9" t="inlineStr">
        <is>
          <t>N/A</t>
        </is>
      </c>
    </row>
    <row r="61">
      <c r="A61" s="10" t="inlineStr">
        <is>
          <t>Total Other financial assets</t>
        </is>
      </c>
      <c r="B61" s="5" t="inlineStr"/>
      <c r="C61" s="11">
        <f>SUM(C56:C60)</f>
        <v/>
      </c>
      <c r="D61" s="11">
        <f>SUM(D56:D60)</f>
        <v/>
      </c>
      <c r="E61" s="11">
        <f>SUM(E56:E60)</f>
        <v/>
      </c>
    </row>
    <row r="63">
      <c r="A63" s="4" t="inlineStr">
        <is>
          <t>Schedule 8</t>
        </is>
      </c>
      <c r="B63" s="5" t="inlineStr"/>
      <c r="C63" s="6" t="n"/>
      <c r="D63" s="6" t="n"/>
      <c r="E63" s="6" t="n"/>
    </row>
    <row r="64">
      <c r="A64" s="7" t="inlineStr">
        <is>
          <t>INVENTORIES</t>
        </is>
      </c>
      <c r="B64" s="5" t="inlineStr"/>
      <c r="C64" s="6" t="n"/>
      <c r="D64" s="6" t="n"/>
      <c r="E64" s="6" t="n"/>
    </row>
    <row r="65">
      <c r="A65" s="7" t="inlineStr">
        <is>
          <t>Traded goods</t>
        </is>
      </c>
      <c r="B65" s="5" t="inlineStr"/>
      <c r="C65" s="8" t="n">
        <v>16593010</v>
      </c>
      <c r="D65" s="9" t="inlineStr">
        <is>
          <t>N/A</t>
        </is>
      </c>
      <c r="E65" s="9" t="inlineStr">
        <is>
          <t>N/A</t>
        </is>
      </c>
    </row>
    <row r="66">
      <c r="A66" s="7" t="inlineStr">
        <is>
          <t>Goods-in-transit</t>
        </is>
      </c>
      <c r="B66" s="5" t="inlineStr"/>
      <c r="C66" s="8" t="n">
        <v>1970069</v>
      </c>
      <c r="D66" s="9" t="inlineStr">
        <is>
          <t>N/A</t>
        </is>
      </c>
      <c r="E66" s="9" t="inlineStr">
        <is>
          <t>N/A</t>
        </is>
      </c>
    </row>
    <row r="67">
      <c r="A67" s="7" t="inlineStr">
        <is>
          <t>Less: Provision for inventory obsolescence</t>
        </is>
      </c>
      <c r="B67" s="5" t="inlineStr"/>
      <c r="C67" s="8" t="n">
        <v>-1764529</v>
      </c>
      <c r="D67" s="9" t="inlineStr">
        <is>
          <t>N/A</t>
        </is>
      </c>
      <c r="E67" s="9" t="inlineStr">
        <is>
          <t>N/A</t>
        </is>
      </c>
    </row>
    <row r="68">
      <c r="A68" s="10" t="inlineStr">
        <is>
          <t>Total Inventories</t>
        </is>
      </c>
      <c r="B68" s="5" t="inlineStr"/>
      <c r="C68" s="11">
        <f>SUM(C64:C67)</f>
        <v/>
      </c>
      <c r="D68" s="11">
        <f>SUM(D64:D67)</f>
        <v/>
      </c>
      <c r="E68" s="11">
        <f>SUM(E64:E67)</f>
        <v/>
      </c>
    </row>
    <row r="70">
      <c r="A70" s="4" t="inlineStr">
        <is>
          <t>Schedule 10</t>
        </is>
      </c>
      <c r="B70" s="5" t="inlineStr"/>
      <c r="C70" s="6" t="n"/>
      <c r="D70" s="6" t="n"/>
      <c r="E70" s="6" t="n"/>
    </row>
    <row r="71">
      <c r="A71" s="7" t="inlineStr">
        <is>
          <t>CASH AND CASH EQUIVALENTS</t>
        </is>
      </c>
      <c r="B71" s="5" t="inlineStr"/>
      <c r="C71" s="6" t="n"/>
      <c r="D71" s="6" t="n"/>
      <c r="E71" s="6" t="n"/>
    </row>
    <row r="72">
      <c r="A72" s="7" t="inlineStr">
        <is>
          <t>Cash on hand</t>
        </is>
      </c>
      <c r="B72" s="5" t="inlineStr"/>
      <c r="C72" s="8" t="n">
        <v>10500</v>
      </c>
      <c r="D72" s="9" t="inlineStr">
        <is>
          <t>N/A</t>
        </is>
      </c>
      <c r="E72" s="9" t="inlineStr">
        <is>
          <t>N/A</t>
        </is>
      </c>
    </row>
    <row r="73">
      <c r="A73" s="7" t="inlineStr">
        <is>
          <t>On current accounts</t>
        </is>
      </c>
      <c r="B73" s="5" t="inlineStr"/>
      <c r="C73" s="8" t="n">
        <v>7826544</v>
      </c>
      <c r="D73" s="9" t="inlineStr">
        <is>
          <t>N/A</t>
        </is>
      </c>
      <c r="E73" s="9" t="inlineStr">
        <is>
          <t>N/A</t>
        </is>
      </c>
    </row>
    <row r="74">
      <c r="A74" s="10" t="inlineStr">
        <is>
          <t>Total Cash and cash equivalents</t>
        </is>
      </c>
      <c r="B74" s="5" t="inlineStr"/>
      <c r="C74" s="11">
        <f>SUM(C71:C73)</f>
        <v/>
      </c>
      <c r="D74" s="11">
        <f>SUM(D71:D73)</f>
        <v/>
      </c>
      <c r="E74" s="11">
        <f>SUM(E71:E73)</f>
        <v/>
      </c>
    </row>
    <row r="76">
      <c r="A76" s="4" t="inlineStr">
        <is>
          <t>Schedule 11</t>
        </is>
      </c>
      <c r="B76" s="5" t="inlineStr"/>
      <c r="C76" s="6" t="n"/>
      <c r="D76" s="6" t="n"/>
      <c r="E76" s="6" t="n"/>
    </row>
    <row r="77">
      <c r="A77" s="7" t="inlineStr">
        <is>
          <t>OTHER BANK BALANCES</t>
        </is>
      </c>
      <c r="B77" s="5" t="inlineStr"/>
      <c r="C77" s="6" t="n"/>
      <c r="D77" s="6" t="n"/>
      <c r="E77" s="6" t="n"/>
    </row>
    <row r="78">
      <c r="A78" s="7" t="inlineStr">
        <is>
          <t>Fixed deposits with banks with maturity period of more than 3 months but less than 12 months*</t>
        </is>
      </c>
      <c r="B78" s="5" t="inlineStr"/>
      <c r="C78" s="8" t="n">
        <v>23090152</v>
      </c>
      <c r="D78" s="9" t="inlineStr">
        <is>
          <t>N/A</t>
        </is>
      </c>
      <c r="E78" s="9" t="inlineStr">
        <is>
          <t>N/A</t>
        </is>
      </c>
    </row>
    <row r="79">
      <c r="A79" s="10" t="inlineStr">
        <is>
          <t>Total Bank balances other than cash and cash equivalents</t>
        </is>
      </c>
      <c r="B79" s="5" t="inlineStr"/>
      <c r="C79" s="11">
        <f>SUM(C77:C78)</f>
        <v/>
      </c>
      <c r="D79" s="11">
        <f>SUM(D77:D78)</f>
        <v/>
      </c>
      <c r="E79" s="11">
        <f>SUM(E77:E78)</f>
        <v/>
      </c>
    </row>
    <row r="81">
      <c r="A81" s="4" t="inlineStr">
        <is>
          <t>Schedule 12</t>
        </is>
      </c>
      <c r="B81" s="5" t="inlineStr"/>
      <c r="C81" s="6" t="n"/>
      <c r="D81" s="6" t="n"/>
      <c r="E81" s="6" t="n"/>
    </row>
    <row r="82">
      <c r="A82" s="7" t="inlineStr">
        <is>
          <t>LOANS-CURRENT</t>
        </is>
      </c>
      <c r="B82" s="5" t="inlineStr"/>
      <c r="C82" s="6" t="n"/>
      <c r="D82" s="6" t="n"/>
      <c r="E82" s="6" t="n"/>
    </row>
    <row r="83">
      <c r="A83" s="7" t="inlineStr">
        <is>
          <t>Loan to related parties* (Refer note 39)</t>
        </is>
      </c>
      <c r="B83" s="5" t="inlineStr"/>
      <c r="C83" s="8" t="n">
        <v>2267719</v>
      </c>
      <c r="D83" s="9" t="inlineStr">
        <is>
          <t>N/A</t>
        </is>
      </c>
      <c r="E83" s="9" t="inlineStr">
        <is>
          <t>N/A</t>
        </is>
      </c>
    </row>
    <row r="84">
      <c r="A84" s="10" t="inlineStr">
        <is>
          <t>Total Loans</t>
        </is>
      </c>
      <c r="B84" s="5" t="inlineStr"/>
      <c r="C84" s="11">
        <f>SUM(C82:C83)</f>
        <v/>
      </c>
      <c r="D84" s="11">
        <f>SUM(D82:D83)</f>
        <v/>
      </c>
      <c r="E84" s="11">
        <f>SUM(E82:E83)</f>
        <v/>
      </c>
    </row>
    <row r="86">
      <c r="A86" s="4" t="inlineStr">
        <is>
          <t>Schedule 13</t>
        </is>
      </c>
      <c r="B86" s="5" t="inlineStr"/>
      <c r="C86" s="6" t="n"/>
      <c r="D86" s="6" t="n"/>
      <c r="E86" s="6" t="n"/>
    </row>
    <row r="87">
      <c r="A87" s="7" t="inlineStr">
        <is>
          <t>OTHER FINANCIAL ASSETS-CURRENT</t>
        </is>
      </c>
      <c r="B87" s="5" t="inlineStr"/>
      <c r="C87" s="6" t="n"/>
      <c r="D87" s="6" t="n"/>
      <c r="E87" s="6" t="n"/>
    </row>
    <row r="88">
      <c r="A88" s="7" t="inlineStr">
        <is>
          <t>Security deposits</t>
        </is>
      </c>
      <c r="B88" s="5" t="inlineStr"/>
      <c r="C88" s="8" t="n">
        <v>312075</v>
      </c>
      <c r="D88" s="9" t="inlineStr">
        <is>
          <t>N/A</t>
        </is>
      </c>
      <c r="E88" s="9" t="inlineStr">
        <is>
          <t>N/A</t>
        </is>
      </c>
    </row>
    <row r="89">
      <c r="A89" s="7" t="inlineStr">
        <is>
          <t>Amount due from related parties (refer note 39)</t>
        </is>
      </c>
      <c r="B89" s="5" t="inlineStr"/>
      <c r="C89" s="8" t="n">
        <v>2025789</v>
      </c>
      <c r="D89" s="9" t="inlineStr">
        <is>
          <t>N/A</t>
        </is>
      </c>
      <c r="E89" s="9" t="inlineStr">
        <is>
          <t>N/A</t>
        </is>
      </c>
    </row>
    <row r="90">
      <c r="A90" s="7" t="inlineStr">
        <is>
          <t>Other recoverable</t>
        </is>
      </c>
      <c r="B90" s="5" t="inlineStr"/>
      <c r="C90" s="8" t="n">
        <v>131351</v>
      </c>
      <c r="D90" s="9" t="inlineStr">
        <is>
          <t>N/A</t>
        </is>
      </c>
      <c r="E90" s="9" t="inlineStr">
        <is>
          <t>N/A</t>
        </is>
      </c>
    </row>
    <row r="91">
      <c r="A91" s="10" t="inlineStr">
        <is>
          <t>Total Other financial assets</t>
        </is>
      </c>
      <c r="B91" s="5" t="inlineStr"/>
      <c r="C91" s="11">
        <f>SUM(C87:C90)</f>
        <v/>
      </c>
      <c r="D91" s="11">
        <f>SUM(D87:D90)</f>
        <v/>
      </c>
      <c r="E91" s="11">
        <f>SUM(E87:E90)</f>
        <v/>
      </c>
    </row>
    <row r="93">
      <c r="A93" s="4" t="inlineStr">
        <is>
          <t>Schedule 6</t>
        </is>
      </c>
      <c r="B93" s="5" t="inlineStr"/>
      <c r="C93" s="6" t="n"/>
      <c r="D93" s="6" t="n"/>
      <c r="E93" s="6" t="n"/>
    </row>
    <row r="94">
      <c r="A94" s="7" t="inlineStr">
        <is>
          <t>DEFERRED TAX LIABILITIES (NET)</t>
        </is>
      </c>
      <c r="B94" s="5" t="inlineStr"/>
      <c r="C94" s="6" t="n"/>
      <c r="D94" s="6" t="n"/>
      <c r="E94" s="6" t="n"/>
    </row>
    <row r="95">
      <c r="A95" s="7" t="inlineStr">
        <is>
          <t>Deferred tax liabilities/ (assets) (net)</t>
        </is>
      </c>
      <c r="B95" s="5" t="inlineStr"/>
      <c r="C95" s="8" t="n">
        <v>648742</v>
      </c>
      <c r="D95" s="9" t="inlineStr">
        <is>
          <t>N/A</t>
        </is>
      </c>
      <c r="E95" s="9" t="inlineStr">
        <is>
          <t>N/A</t>
        </is>
      </c>
    </row>
    <row r="96">
      <c r="A96" s="10" t="inlineStr">
        <is>
          <t>Total Deferred tax liabilities (net)</t>
        </is>
      </c>
      <c r="B96" s="5" t="inlineStr"/>
      <c r="C96" s="11">
        <f>SUM(C94:C95)</f>
        <v/>
      </c>
      <c r="D96" s="11">
        <f>SUM(D94:D95)</f>
        <v/>
      </c>
      <c r="E96" s="11">
        <f>SUM(E94:E95)</f>
        <v/>
      </c>
    </row>
    <row r="98">
      <c r="A98" s="4" t="inlineStr">
        <is>
          <t>Schedule 17</t>
        </is>
      </c>
      <c r="B98" s="5" t="inlineStr"/>
      <c r="C98" s="6" t="n"/>
      <c r="D98" s="6" t="n"/>
      <c r="E98" s="6" t="n"/>
    </row>
    <row r="99">
      <c r="A99" s="7" t="inlineStr">
        <is>
          <t>BORROWINGS (NON-CURRENT AND CURRENT)</t>
        </is>
      </c>
      <c r="B99" s="5" t="inlineStr"/>
      <c r="C99" s="6" t="n"/>
      <c r="D99" s="6" t="n"/>
      <c r="E99" s="6" t="n"/>
    </row>
    <row r="100">
      <c r="A100" s="7" t="inlineStr">
        <is>
          <t>Invoice financing *</t>
        </is>
      </c>
      <c r="B100" s="5" t="inlineStr"/>
      <c r="C100" s="8" t="n">
        <v>8904606</v>
      </c>
      <c r="D100" s="9" t="inlineStr">
        <is>
          <t>N/A</t>
        </is>
      </c>
      <c r="E100" s="9" t="inlineStr">
        <is>
          <t>N/A</t>
        </is>
      </c>
    </row>
    <row r="101">
      <c r="A101" s="7" t="inlineStr">
        <is>
          <t>Banker's acceptance</t>
        </is>
      </c>
      <c r="B101" s="5" t="inlineStr"/>
      <c r="C101" s="8" t="n">
        <v>4793000</v>
      </c>
      <c r="D101" s="9" t="inlineStr">
        <is>
          <t>N/A</t>
        </is>
      </c>
      <c r="E101" s="9" t="inlineStr">
        <is>
          <t>N/A</t>
        </is>
      </c>
    </row>
    <row r="102">
      <c r="A102" s="7" t="inlineStr">
        <is>
          <t>- Term loan from banks</t>
        </is>
      </c>
      <c r="B102" s="5" t="inlineStr"/>
      <c r="C102" s="8" t="n">
        <v>5476580</v>
      </c>
      <c r="D102" s="9" t="inlineStr">
        <is>
          <t>N/A</t>
        </is>
      </c>
      <c r="E102" s="9" t="inlineStr">
        <is>
          <t>N/A</t>
        </is>
      </c>
    </row>
    <row r="103">
      <c r="A103" s="7" t="inlineStr">
        <is>
          <t>-Equipment loan from banks</t>
        </is>
      </c>
      <c r="B103" s="5" t="inlineStr"/>
      <c r="C103" s="8" t="n">
        <v>2000103</v>
      </c>
      <c r="D103" s="9" t="inlineStr">
        <is>
          <t>N/A</t>
        </is>
      </c>
      <c r="E103" s="9" t="inlineStr">
        <is>
          <t>N/A</t>
        </is>
      </c>
    </row>
    <row r="104">
      <c r="A104" s="7" t="inlineStr">
        <is>
          <t>- Vehicle loan from banks#</t>
        </is>
      </c>
      <c r="B104" s="5" t="inlineStr"/>
      <c r="C104" s="8" t="n">
        <v>2774145</v>
      </c>
      <c r="D104" s="9" t="inlineStr">
        <is>
          <t>N/A</t>
        </is>
      </c>
      <c r="E104" s="9" t="inlineStr">
        <is>
          <t>N/A</t>
        </is>
      </c>
    </row>
    <row r="105">
      <c r="A105" s="7" t="inlineStr">
        <is>
          <t>Loan from holding Company (refer note 39)</t>
        </is>
      </c>
      <c r="B105" s="5" t="inlineStr"/>
      <c r="C105" s="8" t="n">
        <v>574560</v>
      </c>
      <c r="D105" s="9" t="inlineStr">
        <is>
          <t>N/A</t>
        </is>
      </c>
      <c r="E105" s="9" t="inlineStr">
        <is>
          <t>N/A</t>
        </is>
      </c>
    </row>
    <row r="106">
      <c r="A106" s="7" t="inlineStr">
        <is>
          <t>Loan from directors (refer note 39)</t>
        </is>
      </c>
      <c r="B106" s="5" t="inlineStr"/>
      <c r="C106" s="8" t="n">
        <v>138017</v>
      </c>
      <c r="D106" s="9" t="inlineStr">
        <is>
          <t>N/A</t>
        </is>
      </c>
      <c r="E106" s="9" t="inlineStr">
        <is>
          <t>N/A</t>
        </is>
      </c>
    </row>
    <row r="107">
      <c r="A107" s="7" t="inlineStr">
        <is>
          <t>Loan from related parties (refer note 39)</t>
        </is>
      </c>
      <c r="B107" s="5" t="inlineStr"/>
      <c r="C107" s="8" t="n">
        <v>15852592</v>
      </c>
      <c r="D107" s="9" t="inlineStr">
        <is>
          <t>N/A</t>
        </is>
      </c>
      <c r="E107" s="9" t="inlineStr">
        <is>
          <t>N/A</t>
        </is>
      </c>
    </row>
    <row r="108">
      <c r="A108" s="7" t="inlineStr">
        <is>
          <t>Loan from shareholders (refer note 39)</t>
        </is>
      </c>
      <c r="B108" s="5" t="inlineStr"/>
      <c r="C108" s="8" t="n">
        <v>28380</v>
      </c>
      <c r="D108" s="9" t="inlineStr">
        <is>
          <t>N/A</t>
        </is>
      </c>
      <c r="E108" s="9" t="inlineStr">
        <is>
          <t>N/A</t>
        </is>
      </c>
    </row>
    <row r="109">
      <c r="A109" s="7" t="inlineStr">
        <is>
          <t>Term loan from banks#</t>
        </is>
      </c>
      <c r="B109" s="5" t="inlineStr"/>
      <c r="C109" s="8" t="n">
        <v>217269021</v>
      </c>
      <c r="D109" s="9" t="inlineStr">
        <is>
          <t>N/A</t>
        </is>
      </c>
      <c r="E109" s="9" t="inlineStr">
        <is>
          <t>N/A</t>
        </is>
      </c>
    </row>
    <row r="110">
      <c r="A110" s="7" t="inlineStr">
        <is>
          <t>Equipment loan from banks ##</t>
        </is>
      </c>
      <c r="B110" s="5" t="inlineStr"/>
      <c r="C110" s="8" t="n">
        <v>768719</v>
      </c>
      <c r="D110" s="9" t="inlineStr">
        <is>
          <t>N/A</t>
        </is>
      </c>
      <c r="E110" s="9" t="inlineStr">
        <is>
          <t>N/A</t>
        </is>
      </c>
    </row>
    <row r="111">
      <c r="A111" s="7" t="inlineStr">
        <is>
          <t>Vehicle loan from banks ##</t>
        </is>
      </c>
      <c r="B111" s="5" t="inlineStr"/>
      <c r="C111" s="8" t="n">
        <v>38519</v>
      </c>
      <c r="D111" s="9" t="inlineStr">
        <is>
          <t>N/A</t>
        </is>
      </c>
      <c r="E111" s="9" t="inlineStr">
        <is>
          <t>N/A</t>
        </is>
      </c>
    </row>
    <row r="112">
      <c r="A112" s="7" t="inlineStr">
        <is>
          <t>- Term loan</t>
        </is>
      </c>
      <c r="B112" s="5" t="inlineStr"/>
      <c r="C112" s="8" t="n">
        <v>-5476580</v>
      </c>
      <c r="D112" s="9" t="inlineStr">
        <is>
          <t>N/A</t>
        </is>
      </c>
      <c r="E112" s="9" t="inlineStr">
        <is>
          <t>N/A</t>
        </is>
      </c>
    </row>
    <row r="113">
      <c r="A113" s="7" t="inlineStr">
        <is>
          <t>- Equipment loan</t>
        </is>
      </c>
      <c r="B113" s="5" t="inlineStr"/>
      <c r="C113" s="8" t="n">
        <v>-2000103</v>
      </c>
      <c r="D113" s="9" t="inlineStr">
        <is>
          <t>N/A</t>
        </is>
      </c>
      <c r="E113" s="9" t="inlineStr">
        <is>
          <t>N/A</t>
        </is>
      </c>
    </row>
    <row r="114">
      <c r="A114" s="7" t="inlineStr">
        <is>
          <t>- Vehicle loan</t>
        </is>
      </c>
      <c r="B114" s="5" t="inlineStr"/>
      <c r="C114" s="8" t="n">
        <v>-2774145</v>
      </c>
      <c r="D114" s="9" t="inlineStr">
        <is>
          <t>N/A</t>
        </is>
      </c>
      <c r="E114" s="9" t="inlineStr">
        <is>
          <t>N/A</t>
        </is>
      </c>
    </row>
    <row r="115">
      <c r="A115" s="10" t="inlineStr">
        <is>
          <t>Total Borrowings</t>
        </is>
      </c>
      <c r="B115" s="5" t="inlineStr"/>
      <c r="C115" s="11">
        <f>SUM(C99:C114)</f>
        <v/>
      </c>
      <c r="D115" s="11">
        <f>SUM(D99:D114)</f>
        <v/>
      </c>
      <c r="E115" s="11">
        <f>SUM(E99:E114)</f>
        <v/>
      </c>
    </row>
    <row r="117">
      <c r="A117" s="4" t="inlineStr">
        <is>
          <t>Schedule 18</t>
        </is>
      </c>
      <c r="B117" s="5" t="inlineStr"/>
      <c r="C117" s="6" t="n"/>
      <c r="D117" s="6" t="n"/>
      <c r="E117" s="6" t="n"/>
    </row>
    <row r="118">
      <c r="A118" s="7" t="inlineStr">
        <is>
          <t>LEASE LIABILITIES</t>
        </is>
      </c>
      <c r="B118" s="5" t="inlineStr"/>
      <c r="C118" s="6" t="n"/>
      <c r="D118" s="6" t="n"/>
      <c r="E118" s="6" t="n"/>
    </row>
    <row r="119">
      <c r="A119" s="7" t="inlineStr">
        <is>
          <t>Non current</t>
        </is>
      </c>
      <c r="B119" s="5" t="inlineStr"/>
      <c r="C119" s="8" t="n">
        <v>0</v>
      </c>
      <c r="D119" s="9" t="inlineStr">
        <is>
          <t>N/A</t>
        </is>
      </c>
      <c r="E119" s="9" t="inlineStr">
        <is>
          <t>N/A</t>
        </is>
      </c>
    </row>
    <row r="120">
      <c r="A120" s="7" t="inlineStr">
        <is>
          <t>Current</t>
        </is>
      </c>
      <c r="B120" s="5" t="inlineStr"/>
      <c r="C120" s="8" t="n">
        <v>568967</v>
      </c>
      <c r="D120" s="9" t="inlineStr">
        <is>
          <t>N/A</t>
        </is>
      </c>
      <c r="E120" s="9" t="inlineStr">
        <is>
          <t>N/A</t>
        </is>
      </c>
    </row>
    <row r="121">
      <c r="A121" s="10" t="inlineStr">
        <is>
          <t>Total Lease liabilities</t>
        </is>
      </c>
      <c r="B121" s="5" t="inlineStr"/>
      <c r="C121" s="11">
        <f>SUM(C118:C120)</f>
        <v/>
      </c>
      <c r="D121" s="11">
        <f>SUM(D118:D120)</f>
        <v/>
      </c>
      <c r="E121" s="11">
        <f>SUM(E118:E120)</f>
        <v/>
      </c>
    </row>
    <row r="123">
      <c r="A123" s="4" t="inlineStr">
        <is>
          <t>Schedule 19</t>
        </is>
      </c>
      <c r="B123" s="5" t="inlineStr"/>
      <c r="C123" s="6" t="n"/>
      <c r="D123" s="6" t="n"/>
      <c r="E123" s="6" t="n"/>
    </row>
    <row r="124">
      <c r="A124" s="7" t="inlineStr">
        <is>
          <t>TRADE PAYABLES</t>
        </is>
      </c>
      <c r="B124" s="5" t="inlineStr"/>
      <c r="C124" s="6" t="n"/>
      <c r="D124" s="6" t="n"/>
      <c r="E124" s="6" t="n"/>
    </row>
    <row r="125">
      <c r="A125" s="7" t="inlineStr">
        <is>
          <t>Due to others</t>
        </is>
      </c>
      <c r="B125" s="5" t="inlineStr"/>
      <c r="C125" s="8" t="n">
        <v>17754281</v>
      </c>
      <c r="D125" s="9" t="inlineStr">
        <is>
          <t>N/A</t>
        </is>
      </c>
      <c r="E125" s="9" t="inlineStr">
        <is>
          <t>N/A</t>
        </is>
      </c>
    </row>
    <row r="126">
      <c r="A126" s="7" t="inlineStr">
        <is>
          <t>Due to related companies</t>
        </is>
      </c>
      <c r="B126" s="5" t="inlineStr"/>
      <c r="C126" s="9" t="inlineStr">
        <is>
          <t>N/A</t>
        </is>
      </c>
      <c r="D126" s="9" t="inlineStr">
        <is>
          <t>N/A</t>
        </is>
      </c>
      <c r="E126" s="9" t="inlineStr">
        <is>
          <t>N/A</t>
        </is>
      </c>
    </row>
    <row r="127">
      <c r="A127" s="10" t="inlineStr">
        <is>
          <t>Total Trade payables</t>
        </is>
      </c>
      <c r="B127" s="5" t="inlineStr"/>
      <c r="C127" s="11">
        <f>SUM(C124:C126)</f>
        <v/>
      </c>
      <c r="D127" s="11">
        <f>SUM(D124:D126)</f>
        <v/>
      </c>
      <c r="E127" s="11">
        <f>SUM(E124:E126)</f>
        <v/>
      </c>
    </row>
    <row r="129">
      <c r="A129" s="4" t="inlineStr">
        <is>
          <t>Schedule 20</t>
        </is>
      </c>
      <c r="B129" s="5" t="inlineStr"/>
      <c r="C129" s="6" t="n"/>
      <c r="D129" s="6" t="n"/>
      <c r="E129" s="6" t="n"/>
    </row>
    <row r="130">
      <c r="A130" s="7" t="inlineStr">
        <is>
          <t>OTHER FINANCIAL LIABILITIES</t>
        </is>
      </c>
      <c r="B130" s="5" t="inlineStr"/>
      <c r="C130" s="6" t="n"/>
      <c r="D130" s="6" t="n"/>
      <c r="E130" s="6" t="n"/>
    </row>
    <row r="131">
      <c r="A131" s="7" t="inlineStr">
        <is>
          <t>Interest accrued but not due on borrowings</t>
        </is>
      </c>
      <c r="B131" s="5" t="inlineStr"/>
      <c r="C131" s="8" t="n">
        <v>1377552</v>
      </c>
      <c r="D131" s="9" t="inlineStr">
        <is>
          <t>N/A</t>
        </is>
      </c>
      <c r="E131" s="9" t="inlineStr">
        <is>
          <t>N/A</t>
        </is>
      </c>
    </row>
    <row r="132">
      <c r="A132" s="7" t="inlineStr">
        <is>
          <t>Employee related payables</t>
        </is>
      </c>
      <c r="B132" s="5" t="inlineStr"/>
      <c r="C132" s="8" t="n">
        <v>664266</v>
      </c>
      <c r="D132" s="9" t="inlineStr">
        <is>
          <t>N/A</t>
        </is>
      </c>
      <c r="E132" s="9" t="inlineStr">
        <is>
          <t>N/A</t>
        </is>
      </c>
    </row>
    <row r="133">
      <c r="A133" s="7" t="inlineStr">
        <is>
          <t>Other payables*</t>
        </is>
      </c>
      <c r="B133" s="5" t="inlineStr"/>
      <c r="C133" s="8" t="n">
        <v>3482695</v>
      </c>
      <c r="D133" s="9" t="inlineStr">
        <is>
          <t>N/A</t>
        </is>
      </c>
      <c r="E133" s="9" t="inlineStr">
        <is>
          <t>N/A</t>
        </is>
      </c>
    </row>
    <row r="134">
      <c r="A134" s="10" t="inlineStr">
        <is>
          <t>Total Other financial liabilities</t>
        </is>
      </c>
      <c r="B134" s="5" t="inlineStr"/>
      <c r="C134" s="11">
        <f>SUM(C130:C133)</f>
        <v/>
      </c>
      <c r="D134" s="11">
        <f>SUM(D130:D133)</f>
        <v/>
      </c>
      <c r="E134" s="11">
        <f>SUM(E130:E133)</f>
        <v/>
      </c>
    </row>
    <row r="136">
      <c r="A136" s="4" t="inlineStr">
        <is>
          <t>Schedule 21</t>
        </is>
      </c>
      <c r="B136" s="5" t="inlineStr"/>
      <c r="C136" s="6" t="n"/>
      <c r="D136" s="6" t="n"/>
      <c r="E136" s="6" t="n"/>
    </row>
    <row r="137">
      <c r="A137" s="7" t="inlineStr">
        <is>
          <t>OTHER CURRENT LIABILITIES</t>
        </is>
      </c>
      <c r="B137" s="5" t="inlineStr"/>
      <c r="C137" s="6" t="n"/>
      <c r="D137" s="6" t="n"/>
      <c r="E137" s="6" t="n"/>
    </row>
    <row r="138">
      <c r="A138" s="7" t="inlineStr">
        <is>
          <t>Statutory dues payable</t>
        </is>
      </c>
      <c r="B138" s="5" t="inlineStr"/>
      <c r="C138" s="8" t="n">
        <v>1174147</v>
      </c>
      <c r="D138" s="9" t="inlineStr">
        <is>
          <t>N/A</t>
        </is>
      </c>
      <c r="E138" s="9" t="inlineStr">
        <is>
          <t>N/A</t>
        </is>
      </c>
    </row>
    <row r="139">
      <c r="A139" s="10" t="inlineStr">
        <is>
          <t>Total Other current liabilities</t>
        </is>
      </c>
      <c r="B139" s="5" t="inlineStr"/>
      <c r="C139" s="11">
        <f>SUM(C137:C138)</f>
        <v/>
      </c>
      <c r="D139" s="11">
        <f>SUM(D137:D138)</f>
        <v/>
      </c>
      <c r="E139" s="11">
        <f>SUM(E137:E138)</f>
        <v/>
      </c>
    </row>
    <row r="141">
      <c r="A141" s="4" t="inlineStr">
        <is>
          <t>Schedule 22</t>
        </is>
      </c>
      <c r="B141" s="5" t="inlineStr"/>
      <c r="C141" s="6" t="n"/>
      <c r="D141" s="6" t="n"/>
      <c r="E141" s="6" t="n"/>
    </row>
    <row r="142">
      <c r="A142" s="7" t="inlineStr">
        <is>
          <t>PROVISIONS - CURRENT</t>
        </is>
      </c>
      <c r="B142" s="5" t="inlineStr"/>
      <c r="C142" s="6" t="n"/>
      <c r="D142" s="6" t="n"/>
      <c r="E142" s="6" t="n"/>
    </row>
    <row r="143">
      <c r="A143" s="7" t="inlineStr">
        <is>
          <t>Compensated absences</t>
        </is>
      </c>
      <c r="B143" s="5" t="inlineStr"/>
      <c r="C143" s="8" t="n">
        <v>210260</v>
      </c>
      <c r="D143" s="9" t="inlineStr">
        <is>
          <t>N/A</t>
        </is>
      </c>
      <c r="E143" s="9" t="inlineStr">
        <is>
          <t>N/A</t>
        </is>
      </c>
    </row>
    <row r="144">
      <c r="A144" s="10" t="inlineStr">
        <is>
          <t>Total Provisions</t>
        </is>
      </c>
      <c r="B144" s="5" t="inlineStr"/>
      <c r="C144" s="11">
        <f>SUM(C142:C143)</f>
        <v/>
      </c>
      <c r="D144" s="11">
        <f>SUM(D142:D143)</f>
        <v/>
      </c>
      <c r="E144" s="11">
        <f>SUM(E142:E143)</f>
        <v/>
      </c>
    </row>
    <row r="146">
      <c r="A146" s="4" t="inlineStr">
        <is>
          <t>Schedule 23</t>
        </is>
      </c>
      <c r="B146" s="5" t="inlineStr"/>
      <c r="C146" s="6" t="n"/>
      <c r="D146" s="6" t="n"/>
      <c r="E146" s="6" t="n"/>
    </row>
    <row r="147">
      <c r="A147" s="7" t="inlineStr">
        <is>
          <t>CURRENT TAX LIABILITIES (NET)</t>
        </is>
      </c>
      <c r="B147" s="5" t="inlineStr"/>
      <c r="C147" s="6" t="n"/>
      <c r="D147" s="6" t="n"/>
      <c r="E147" s="6" t="n"/>
    </row>
    <row r="148">
      <c r="A148" s="7" t="inlineStr">
        <is>
          <t>Provision for income tax (net of advance tax)</t>
        </is>
      </c>
      <c r="B148" s="5" t="inlineStr"/>
      <c r="C148" s="8" t="n">
        <v>1763091</v>
      </c>
      <c r="D148" s="9" t="inlineStr">
        <is>
          <t>N/A</t>
        </is>
      </c>
      <c r="E148" s="9" t="inlineStr">
        <is>
          <t>N/A</t>
        </is>
      </c>
    </row>
    <row r="149">
      <c r="A149" s="10" t="inlineStr">
        <is>
          <t>Total Current tax liabilities (net)</t>
        </is>
      </c>
      <c r="B149" s="5" t="inlineStr"/>
      <c r="C149" s="11">
        <f>SUM(C147:C148)</f>
        <v/>
      </c>
      <c r="D149" s="11">
        <f>SUM(D147:D148)</f>
        <v/>
      </c>
      <c r="E149" s="11">
        <f>SUM(E147:E148)</f>
        <v/>
      </c>
    </row>
    <row r="151">
      <c r="A151" s="4" t="inlineStr">
        <is>
          <t>Schedule 14</t>
        </is>
      </c>
      <c r="B151" s="5" t="inlineStr"/>
      <c r="C151" s="6" t="n"/>
      <c r="D151" s="6" t="n"/>
      <c r="E151" s="6" t="n"/>
    </row>
    <row r="152">
      <c r="A152" s="7" t="inlineStr">
        <is>
          <t>EQUITY SHARE CAPITAL</t>
        </is>
      </c>
      <c r="B152" s="5" t="inlineStr"/>
      <c r="C152" s="6" t="n"/>
      <c r="D152" s="6" t="n"/>
      <c r="E152" s="6" t="n"/>
    </row>
    <row r="153">
      <c r="A153" s="7" t="inlineStr">
        <is>
          <t>56,80,600 Equity shares of MYR 3.60 each.</t>
        </is>
      </c>
      <c r="B153" s="5" t="inlineStr"/>
      <c r="C153" s="8" t="n">
        <v>20436545</v>
      </c>
      <c r="D153" s="9" t="inlineStr">
        <is>
          <t>N/A</t>
        </is>
      </c>
      <c r="E153" s="9" t="inlineStr">
        <is>
          <t>N/A</t>
        </is>
      </c>
    </row>
    <row r="154">
      <c r="A154" s="7" t="inlineStr">
        <is>
          <t>56,80,600 Equity shares of MYR 3.60 each.</t>
        </is>
      </c>
      <c r="B154" s="5" t="inlineStr"/>
      <c r="C154" s="8" t="n">
        <v>20436545</v>
      </c>
      <c r="D154" s="9" t="inlineStr">
        <is>
          <t>N/A</t>
        </is>
      </c>
      <c r="E154" s="9" t="inlineStr">
        <is>
          <t>N/A</t>
        </is>
      </c>
    </row>
    <row r="155">
      <c r="A155" s="10" t="inlineStr">
        <is>
          <t>Total Equity share capital</t>
        </is>
      </c>
      <c r="B155" s="5" t="inlineStr"/>
      <c r="C155" s="11">
        <f>SUM(C152:C154)</f>
        <v/>
      </c>
      <c r="D155" s="11">
        <f>SUM(D152:D154)</f>
        <v/>
      </c>
      <c r="E155" s="11">
        <f>SUM(E152:E154)</f>
        <v/>
      </c>
    </row>
    <row r="157">
      <c r="A157" s="4" t="inlineStr">
        <is>
          <t>Schedule 15</t>
        </is>
      </c>
      <c r="B157" s="5" t="inlineStr"/>
      <c r="C157" s="6" t="n"/>
      <c r="D157" s="6" t="n"/>
      <c r="E157" s="6" t="n"/>
    </row>
    <row r="158">
      <c r="A158" s="7" t="inlineStr">
        <is>
          <t>OTHER EQUITY</t>
        </is>
      </c>
      <c r="B158" s="5" t="inlineStr"/>
      <c r="C158" s="6" t="n"/>
      <c r="D158" s="6" t="n"/>
      <c r="E158" s="6" t="n"/>
    </row>
    <row r="159">
      <c r="A159" s="7" t="inlineStr">
        <is>
          <t>Balance at the beginning of the year</t>
        </is>
      </c>
      <c r="B159" s="5" t="inlineStr"/>
      <c r="C159" s="8" t="n">
        <v>81078223</v>
      </c>
      <c r="D159" s="9" t="inlineStr">
        <is>
          <t>N/A</t>
        </is>
      </c>
      <c r="E159" s="9" t="inlineStr">
        <is>
          <t>N/A</t>
        </is>
      </c>
    </row>
    <row r="160">
      <c r="A160" s="7" t="inlineStr">
        <is>
          <t>Profit for the year</t>
        </is>
      </c>
      <c r="B160" s="5" t="inlineStr"/>
      <c r="C160" s="8" t="n">
        <v>0</v>
      </c>
      <c r="D160" s="9" t="inlineStr">
        <is>
          <t>N/A</t>
        </is>
      </c>
      <c r="E160" s="9" t="inlineStr">
        <is>
          <t>N/A</t>
        </is>
      </c>
    </row>
    <row r="161">
      <c r="A161" s="7" t="inlineStr">
        <is>
          <t>Balance at the end of the year (Retained Earnings)</t>
        </is>
      </c>
      <c r="B161" s="5" t="inlineStr"/>
      <c r="C161" s="8" t="n">
        <v>81078223</v>
      </c>
      <c r="D161" s="9" t="inlineStr">
        <is>
          <t>N/A</t>
        </is>
      </c>
      <c r="E161" s="9" t="inlineStr">
        <is>
          <t>N/A</t>
        </is>
      </c>
    </row>
    <row r="162">
      <c r="A162" s="7" t="inlineStr">
        <is>
          <t>Balance at the end of the year (ESOP)</t>
        </is>
      </c>
      <c r="B162" s="5" t="inlineStr"/>
      <c r="C162" s="8" t="n">
        <v>1040663</v>
      </c>
      <c r="D162" s="9" t="inlineStr">
        <is>
          <t>N/A</t>
        </is>
      </c>
      <c r="E162" s="9" t="inlineStr">
        <is>
          <t>N/A</t>
        </is>
      </c>
    </row>
    <row r="163">
      <c r="A163" s="10" t="inlineStr">
        <is>
          <t>Total Other equity</t>
        </is>
      </c>
      <c r="B163" s="5" t="inlineStr"/>
      <c r="C163" s="11">
        <f>SUM(C158:C162)</f>
        <v/>
      </c>
      <c r="D163" s="11">
        <f>SUM(D158:D162)</f>
        <v/>
      </c>
      <c r="E163" s="11">
        <f>SUM(E158:E162)</f>
        <v/>
      </c>
    </row>
    <row r="165">
      <c r="A165" s="4" t="inlineStr">
        <is>
          <t>GRAND SCHEDULE TOTALS</t>
        </is>
      </c>
      <c r="B165" s="5" t="inlineStr"/>
      <c r="C165" s="6" t="n"/>
      <c r="D165" s="6" t="n"/>
      <c r="E165" s="6" t="n"/>
    </row>
    <row r="166">
      <c r="A166" s="10" t="inlineStr">
        <is>
          <t>Grand Total of All Schedules</t>
        </is>
      </c>
      <c r="B166" s="5" t="inlineStr"/>
      <c r="C166" s="11">
        <f>C26+C33+C53+C61+C68+C74+C79+C84+C91+C96+C115+C121+C127+C134+C139+C144+C149+C155+C163</f>
        <v/>
      </c>
      <c r="D166" s="11">
        <f>D26+D33+D53+D61+D68+D74+D79+D84+D91+D96+D115+D121+D127+D134+D139+D144+D149+D155+D163</f>
        <v/>
      </c>
      <c r="E166" s="11">
        <f>E26+E33+E53+E61+E68+E74+E79+E84+E91+E96+E115+E121+E127+E134+E139+E144+E149+E155+E163</f>
        <v/>
      </c>
    </row>
  </sheetData>
  <mergeCells count="6">
    <mergeCell ref="A7:B7"/>
    <mergeCell ref="A9:B9"/>
    <mergeCell ref="C8:E8"/>
    <mergeCell ref="C9:E9"/>
    <mergeCell ref="C7:E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2025-11-05T15:52:26Z</dcterms:created>
  <dcterms:modified xsi:type="dcterms:W3CDTF">2025-11-05T15:52:26Z</dcterms:modified>
</cp:coreProperties>
</file>